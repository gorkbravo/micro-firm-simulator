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ancentralrd-my.sharepoint.com/personal/j_aloi_bancentral_gov_do/Documents/Desktop/Personal/Microeconomía/2. Abr - Agost 2026/"/>
    </mc:Choice>
  </mc:AlternateContent>
  <xr:revisionPtr revIDLastSave="525" documentId="13_ncr:1_{8EBA2359-D949-431C-8477-8F38801163FB}" xr6:coauthVersionLast="47" xr6:coauthVersionMax="47" xr10:uidLastSave="{0F2B4C8F-AD58-46AB-857C-C4E81EF6EED3}"/>
  <bookViews>
    <workbookView xWindow="-120" yWindow="-120" windowWidth="29040" windowHeight="15720" xr2:uid="{79A83A4C-809D-4C83-9090-72404D984F94}"/>
  </bookViews>
  <sheets>
    <sheet name="Orde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3" i="1" l="1"/>
  <c r="D37" i="1"/>
  <c r="D36" i="1"/>
  <c r="D35" i="1"/>
  <c r="D34" i="1"/>
</calcChain>
</file>

<file path=xl/sharedStrings.xml><?xml version="1.0" encoding="utf-8"?>
<sst xmlns="http://schemas.openxmlformats.org/spreadsheetml/2006/main" count="83" uniqueCount="71">
  <si>
    <t>Clase</t>
  </si>
  <si>
    <t>Contenido</t>
  </si>
  <si>
    <t>Fecha</t>
  </si>
  <si>
    <t xml:space="preserve">Demanda Oferta y el Mercado </t>
  </si>
  <si>
    <t>Pruebín, examen o reporte de lectura</t>
  </si>
  <si>
    <t>Pruebín 1</t>
  </si>
  <si>
    <t xml:space="preserve">La preferenia y la utilidad </t>
  </si>
  <si>
    <t xml:space="preserve">Maximización de la utilidad </t>
  </si>
  <si>
    <t xml:space="preserve">El excedente del consumidor </t>
  </si>
  <si>
    <t>Pruebín 3</t>
  </si>
  <si>
    <t xml:space="preserve">Comportamiento de las empresas: las restricciones tecnológicas </t>
  </si>
  <si>
    <t xml:space="preserve">La minimización de los costos </t>
  </si>
  <si>
    <t>Pruebín 4</t>
  </si>
  <si>
    <t>Examen final</t>
  </si>
  <si>
    <t xml:space="preserve">El conjunto presupuestario </t>
  </si>
  <si>
    <t>3 examenes</t>
  </si>
  <si>
    <t>1 dinámica</t>
  </si>
  <si>
    <t>1 pruebín largo</t>
  </si>
  <si>
    <t>1 socializar la práctica final</t>
  </si>
  <si>
    <t>Primer parcial</t>
  </si>
  <si>
    <t>Segundo parcial</t>
  </si>
  <si>
    <r>
      <t>De la maximización de la utilidad a la demanda</t>
    </r>
    <r>
      <rPr>
        <i/>
        <sz val="11"/>
        <rFont val="Calibri"/>
        <family val="2"/>
      </rPr>
      <t xml:space="preserve"> </t>
    </r>
  </si>
  <si>
    <t>REMOTO</t>
  </si>
  <si>
    <t xml:space="preserve">La maximización del beneficio </t>
  </si>
  <si>
    <t>La curva de costes</t>
  </si>
  <si>
    <t xml:space="preserve">La oferta de la empresa y de la industria en competencia perfecta </t>
  </si>
  <si>
    <t>27 clases</t>
  </si>
  <si>
    <t>6 de agosto (Fecha limite para publicar notas)</t>
  </si>
  <si>
    <t>Jueves, 30 de Abril 2026</t>
  </si>
  <si>
    <t>Martes, 5 de Mayo 2026</t>
  </si>
  <si>
    <t>Jueves, 7 de Mayo 2026</t>
  </si>
  <si>
    <t>Martes, 12 de Mayo 2026</t>
  </si>
  <si>
    <t>Jueves, 14 de Mayo 2026</t>
  </si>
  <si>
    <t>Martes, 19 de Mayo 2026</t>
  </si>
  <si>
    <t>Jueves, 21 de Mayo 2026</t>
  </si>
  <si>
    <t>Martes, 26 de Mayo 2026</t>
  </si>
  <si>
    <t>Jueves, 28 de Mayo 2026</t>
  </si>
  <si>
    <t>Martes, 2 de Junio 2026</t>
  </si>
  <si>
    <t>Jueves, 4 de Junio 2026</t>
  </si>
  <si>
    <t>Martes, 9 de Junio 2026</t>
  </si>
  <si>
    <t>Hasta 4 clases canceladas</t>
  </si>
  <si>
    <t>Jueves, 11 de Junio 2026</t>
  </si>
  <si>
    <t>Martes, 16 de Junio 2026</t>
  </si>
  <si>
    <t>Jueves, 18 de Junio 2026</t>
  </si>
  <si>
    <t>Martes, 23 de Junio 2026</t>
  </si>
  <si>
    <t>Jueves, 25 de Junio 2026</t>
  </si>
  <si>
    <t>Martes, 30 de Junio 2026</t>
  </si>
  <si>
    <t>Jueves, 2 de Julio 2026</t>
  </si>
  <si>
    <t>Jueves, 9 de Julio 2026</t>
  </si>
  <si>
    <t>Martes, 7 de Julio 2026</t>
  </si>
  <si>
    <t>Martes, 14 de Julio 2026</t>
  </si>
  <si>
    <t>Jueves, 16 de Julio 2026</t>
  </si>
  <si>
    <t>Martes, 21 de Julio 2026</t>
  </si>
  <si>
    <t>Jueves, 23 de Julio 2026</t>
  </si>
  <si>
    <t>Martes, 28 de Julio 2026</t>
  </si>
  <si>
    <t>N/A</t>
  </si>
  <si>
    <t>Corpus Christy</t>
  </si>
  <si>
    <t>Cuatrimestre Abril – Agosto (30 de Abril al 28 de Julio)</t>
  </si>
  <si>
    <t>Miercoles, 29 de Julio 2026</t>
  </si>
  <si>
    <t xml:space="preserve">Subir calificaciones </t>
  </si>
  <si>
    <t>Entrega de práctica 1 (digital) y Pruebín 2</t>
  </si>
  <si>
    <t xml:space="preserve">Las preferencias reveladas </t>
  </si>
  <si>
    <t xml:space="preserve">Los IDP y la ecuación de Slutzky </t>
  </si>
  <si>
    <t>CANCELADA</t>
  </si>
  <si>
    <t xml:space="preserve">Entrega tarea 2 </t>
  </si>
  <si>
    <t xml:space="preserve">Practicas para el examen </t>
  </si>
  <si>
    <t>Gorka</t>
  </si>
  <si>
    <t xml:space="preserve">N/A y Entrega de práctica 2 (digital) </t>
  </si>
  <si>
    <t xml:space="preserve">Demanda Individual a la D. de mercado y el el equilibrio del mercado </t>
  </si>
  <si>
    <t>Dinámica de Empresas</t>
  </si>
  <si>
    <t>Pruebín 5 (Gorka)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</si>
</sst>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0A]dddd\,\ dd&quot; de &quot;mmmm&quot; de &quot;yyyy;@"/>
    <numFmt numFmtId="165" formatCode="dd/mm/yyyy;@"/>
  </numFmts>
  <fonts count="10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6"/>
      <color theme="1"/>
      <name val="Calibri"/>
      <family val="2"/>
    </font>
    <font>
      <sz val="11"/>
      <color theme="1"/>
      <name val="Aptos Narrow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i/>
      <sz val="11"/>
      <name val="Calibri"/>
      <family val="2"/>
    </font>
    <font>
      <b/>
      <sz val="12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9" fontId="5" fillId="0" borderId="0" applyFont="0" applyFill="0" applyBorder="0" applyAlignment="0" applyProtection="0"/>
  </cellStyleXfs>
  <cellXfs count="88">
    <xf numFmtId="0" fontId="0" fillId="0" borderId="0" xfId="0"/>
    <xf numFmtId="0" fontId="2" fillId="0" borderId="0" xfId="0" applyFont="1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wrapText="1"/>
    </xf>
    <xf numFmtId="0" fontId="3" fillId="0" borderId="0" xfId="0" applyFont="1"/>
    <xf numFmtId="0" fontId="2" fillId="0" borderId="0" xfId="0" applyFont="1" applyAlignment="1">
      <alignment horizontal="left" wrapText="1"/>
    </xf>
    <xf numFmtId="0" fontId="3" fillId="3" borderId="10" xfId="0" applyFont="1" applyFill="1" applyBorder="1" applyAlignment="1">
      <alignment horizontal="center" vertical="center"/>
    </xf>
    <xf numFmtId="0" fontId="3" fillId="0" borderId="24" xfId="0" applyFont="1" applyBorder="1" applyAlignment="1">
      <alignment horizontal="left" wrapText="1"/>
    </xf>
    <xf numFmtId="9" fontId="2" fillId="0" borderId="4" xfId="2" applyFont="1" applyBorder="1" applyAlignment="1">
      <alignment horizontal="center" wrapText="1"/>
    </xf>
    <xf numFmtId="0" fontId="3" fillId="0" borderId="20" xfId="0" applyFont="1" applyBorder="1" applyAlignment="1">
      <alignment horizontal="left" wrapText="1"/>
    </xf>
    <xf numFmtId="9" fontId="2" fillId="0" borderId="2" xfId="2" applyFont="1" applyBorder="1" applyAlignment="1">
      <alignment horizontal="center" wrapText="1"/>
    </xf>
    <xf numFmtId="0" fontId="3" fillId="0" borderId="25" xfId="0" applyFont="1" applyBorder="1" applyAlignment="1">
      <alignment horizontal="left" wrapText="1"/>
    </xf>
    <xf numFmtId="9" fontId="2" fillId="0" borderId="3" xfId="2" applyFont="1" applyBorder="1" applyAlignment="1">
      <alignment horizontal="center" wrapText="1"/>
    </xf>
    <xf numFmtId="0" fontId="3" fillId="4" borderId="7" xfId="0" applyFont="1" applyFill="1" applyBorder="1" applyAlignment="1">
      <alignment horizontal="center" vertical="center"/>
    </xf>
    <xf numFmtId="164" fontId="2" fillId="4" borderId="1" xfId="0" applyNumberFormat="1" applyFont="1" applyFill="1" applyBorder="1" applyAlignment="1">
      <alignment horizontal="left" vertical="center" wrapText="1"/>
    </xf>
    <xf numFmtId="164" fontId="6" fillId="4" borderId="1" xfId="1" applyNumberFormat="1" applyFont="1" applyFill="1" applyBorder="1" applyAlignment="1">
      <alignment horizontal="left" vertical="center" wrapText="1"/>
    </xf>
    <xf numFmtId="0" fontId="7" fillId="4" borderId="19" xfId="1" applyFont="1" applyFill="1" applyBorder="1" applyAlignment="1">
      <alignment horizontal="center" vertical="center"/>
    </xf>
    <xf numFmtId="0" fontId="7" fillId="3" borderId="10" xfId="1" applyFont="1" applyFill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165" fontId="3" fillId="0" borderId="22" xfId="0" applyNumberFormat="1" applyFont="1" applyBorder="1" applyAlignment="1">
      <alignment horizontal="left" vertical="center" wrapText="1"/>
    </xf>
    <xf numFmtId="164" fontId="6" fillId="3" borderId="22" xfId="1" applyNumberFormat="1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7" fillId="4" borderId="7" xfId="1" applyFont="1" applyFill="1" applyBorder="1" applyAlignment="1">
      <alignment horizontal="center" vertical="center"/>
    </xf>
    <xf numFmtId="0" fontId="7" fillId="5" borderId="5" xfId="0" applyFont="1" applyFill="1" applyBorder="1" applyAlignment="1">
      <alignment horizontal="center" vertical="center"/>
    </xf>
    <xf numFmtId="164" fontId="6" fillId="5" borderId="6" xfId="1" applyNumberFormat="1" applyFont="1" applyFill="1" applyBorder="1" applyAlignment="1">
      <alignment horizontal="left" vertical="center" wrapText="1"/>
    </xf>
    <xf numFmtId="0" fontId="6" fillId="5" borderId="6" xfId="1" applyFont="1" applyFill="1" applyBorder="1" applyAlignment="1">
      <alignment horizontal="center" vertical="center" wrapText="1"/>
    </xf>
    <xf numFmtId="0" fontId="6" fillId="5" borderId="26" xfId="0" applyFont="1" applyFill="1" applyBorder="1" applyAlignment="1">
      <alignment horizontal="center" vertical="center" wrapText="1"/>
    </xf>
    <xf numFmtId="0" fontId="7" fillId="5" borderId="7" xfId="0" applyFont="1" applyFill="1" applyBorder="1" applyAlignment="1">
      <alignment horizontal="center" vertical="center"/>
    </xf>
    <xf numFmtId="164" fontId="6" fillId="5" borderId="4" xfId="1" applyNumberFormat="1" applyFont="1" applyFill="1" applyBorder="1" applyAlignment="1">
      <alignment horizontal="left" vertical="center" wrapText="1"/>
    </xf>
    <xf numFmtId="0" fontId="6" fillId="5" borderId="4" xfId="1" applyFont="1" applyFill="1" applyBorder="1" applyAlignment="1">
      <alignment horizontal="center" vertical="center" wrapText="1"/>
    </xf>
    <xf numFmtId="0" fontId="6" fillId="5" borderId="8" xfId="0" applyFont="1" applyFill="1" applyBorder="1" applyAlignment="1">
      <alignment horizontal="center" vertical="center" wrapText="1"/>
    </xf>
    <xf numFmtId="164" fontId="6" fillId="5" borderId="1" xfId="1" applyNumberFormat="1" applyFont="1" applyFill="1" applyBorder="1" applyAlignment="1">
      <alignment horizontal="left" vertical="center" wrapText="1"/>
    </xf>
    <xf numFmtId="0" fontId="6" fillId="5" borderId="1" xfId="1" applyFont="1" applyFill="1" applyBorder="1" applyAlignment="1">
      <alignment horizontal="center"/>
    </xf>
    <xf numFmtId="0" fontId="6" fillId="5" borderId="8" xfId="1" applyFont="1" applyFill="1" applyBorder="1" applyAlignment="1">
      <alignment horizontal="center"/>
    </xf>
    <xf numFmtId="0" fontId="6" fillId="5" borderId="1" xfId="1" applyFont="1" applyFill="1" applyBorder="1" applyAlignment="1">
      <alignment horizontal="center" wrapText="1"/>
    </xf>
    <xf numFmtId="0" fontId="6" fillId="5" borderId="8" xfId="1" applyFont="1" applyFill="1" applyBorder="1" applyAlignment="1">
      <alignment horizontal="center" vertical="center"/>
    </xf>
    <xf numFmtId="164" fontId="2" fillId="5" borderId="1" xfId="0" applyNumberFormat="1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wrapText="1"/>
    </xf>
    <xf numFmtId="0" fontId="2" fillId="5" borderId="8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2" fillId="0" borderId="8" xfId="0" applyFont="1" applyBorder="1" applyAlignment="1">
      <alignment horizontal="center" vertical="center" wrapText="1"/>
    </xf>
    <xf numFmtId="0" fontId="7" fillId="7" borderId="7" xfId="0" applyFont="1" applyFill="1" applyBorder="1" applyAlignment="1">
      <alignment horizontal="center" vertical="center"/>
    </xf>
    <xf numFmtId="164" fontId="6" fillId="7" borderId="1" xfId="1" applyNumberFormat="1" applyFont="1" applyFill="1" applyBorder="1" applyAlignment="1">
      <alignment horizontal="left" vertical="center" wrapText="1"/>
    </xf>
    <xf numFmtId="0" fontId="2" fillId="5" borderId="8" xfId="0" applyFont="1" applyFill="1" applyBorder="1" applyAlignment="1">
      <alignment horizontal="center" vertical="center" wrapText="1"/>
    </xf>
    <xf numFmtId="0" fontId="7" fillId="5" borderId="21" xfId="0" applyFont="1" applyFill="1" applyBorder="1" applyAlignment="1">
      <alignment horizontal="center" vertical="center"/>
    </xf>
    <xf numFmtId="164" fontId="2" fillId="5" borderId="4" xfId="0" applyNumberFormat="1" applyFont="1" applyFill="1" applyBorder="1" applyAlignment="1">
      <alignment horizontal="left" vertical="center" wrapText="1"/>
    </xf>
    <xf numFmtId="0" fontId="2" fillId="5" borderId="4" xfId="0" applyFont="1" applyFill="1" applyBorder="1" applyAlignment="1">
      <alignment horizontal="center" wrapText="1"/>
    </xf>
    <xf numFmtId="0" fontId="2" fillId="5" borderId="28" xfId="0" applyFont="1" applyFill="1" applyBorder="1" applyAlignment="1">
      <alignment horizontal="center" wrapText="1"/>
    </xf>
    <xf numFmtId="0" fontId="3" fillId="6" borderId="9" xfId="0" applyFont="1" applyFill="1" applyBorder="1" applyAlignment="1">
      <alignment horizontal="center" vertical="center"/>
    </xf>
    <xf numFmtId="164" fontId="3" fillId="6" borderId="3" xfId="0" applyNumberFormat="1" applyFont="1" applyFill="1" applyBorder="1" applyAlignment="1">
      <alignment horizontal="left" vertical="center" wrapText="1"/>
    </xf>
    <xf numFmtId="164" fontId="2" fillId="3" borderId="11" xfId="0" applyNumberFormat="1" applyFont="1" applyFill="1" applyBorder="1" applyAlignment="1">
      <alignment horizontal="left" vertical="center" wrapText="1"/>
    </xf>
    <xf numFmtId="0" fontId="3" fillId="5" borderId="7" xfId="0" applyFont="1" applyFill="1" applyBorder="1" applyAlignment="1">
      <alignment horizontal="center" vertical="center"/>
    </xf>
    <xf numFmtId="0" fontId="3" fillId="8" borderId="7" xfId="0" applyFont="1" applyFill="1" applyBorder="1" applyAlignment="1">
      <alignment horizontal="center" vertical="center"/>
    </xf>
    <xf numFmtId="164" fontId="2" fillId="8" borderId="1" xfId="0" applyNumberFormat="1" applyFont="1" applyFill="1" applyBorder="1" applyAlignment="1">
      <alignment horizontal="left" vertical="center" wrapText="1"/>
    </xf>
    <xf numFmtId="0" fontId="2" fillId="8" borderId="1" xfId="0" applyFont="1" applyFill="1" applyBorder="1" applyAlignment="1">
      <alignment horizontal="center" wrapText="1"/>
    </xf>
    <xf numFmtId="0" fontId="3" fillId="8" borderId="8" xfId="0" applyFont="1" applyFill="1" applyBorder="1" applyAlignment="1">
      <alignment horizontal="center" vertical="center" wrapText="1"/>
    </xf>
    <xf numFmtId="0" fontId="3" fillId="8" borderId="21" xfId="0" applyFont="1" applyFill="1" applyBorder="1" applyAlignment="1">
      <alignment horizontal="center" vertical="center"/>
    </xf>
    <xf numFmtId="164" fontId="2" fillId="8" borderId="4" xfId="0" applyNumberFormat="1" applyFont="1" applyFill="1" applyBorder="1" applyAlignment="1">
      <alignment horizontal="left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6" fillId="4" borderId="1" xfId="1" applyFont="1" applyFill="1" applyBorder="1" applyAlignment="1">
      <alignment horizontal="center" vertical="center" wrapText="1"/>
    </xf>
    <xf numFmtId="0" fontId="2" fillId="0" borderId="27" xfId="0" applyFont="1" applyBorder="1" applyAlignment="1">
      <alignment horizontal="center" wrapText="1"/>
    </xf>
    <xf numFmtId="0" fontId="2" fillId="0" borderId="23" xfId="0" applyFont="1" applyBorder="1" applyAlignment="1">
      <alignment horizontal="center" wrapText="1"/>
    </xf>
    <xf numFmtId="0" fontId="3" fillId="3" borderId="27" xfId="0" applyFont="1" applyFill="1" applyBorder="1" applyAlignment="1">
      <alignment horizontal="center" vertical="center" wrapText="1"/>
    </xf>
    <xf numFmtId="0" fontId="3" fillId="3" borderId="23" xfId="0" applyFont="1" applyFill="1" applyBorder="1" applyAlignment="1">
      <alignment horizontal="center" vertical="center" wrapText="1"/>
    </xf>
    <xf numFmtId="0" fontId="4" fillId="4" borderId="15" xfId="0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/>
    </xf>
    <xf numFmtId="0" fontId="4" fillId="4" borderId="16" xfId="0" applyFont="1" applyFill="1" applyBorder="1" applyAlignment="1">
      <alignment horizontal="center" vertical="center"/>
    </xf>
    <xf numFmtId="0" fontId="4" fillId="4" borderId="17" xfId="0" applyFont="1" applyFill="1" applyBorder="1" applyAlignment="1">
      <alignment horizontal="center" vertical="center"/>
    </xf>
    <xf numFmtId="0" fontId="4" fillId="4" borderId="14" xfId="0" applyFont="1" applyFill="1" applyBorder="1" applyAlignment="1">
      <alignment horizontal="center" vertical="center"/>
    </xf>
    <xf numFmtId="0" fontId="4" fillId="4" borderId="18" xfId="0" applyFont="1" applyFill="1" applyBorder="1" applyAlignment="1">
      <alignment horizontal="center" vertical="center"/>
    </xf>
    <xf numFmtId="0" fontId="3" fillId="3" borderId="22" xfId="0" applyFont="1" applyFill="1" applyBorder="1" applyAlignment="1">
      <alignment horizontal="center" wrapText="1"/>
    </xf>
    <xf numFmtId="0" fontId="3" fillId="3" borderId="23" xfId="0" applyFont="1" applyFill="1" applyBorder="1" applyAlignment="1">
      <alignment horizontal="center" wrapText="1"/>
    </xf>
    <xf numFmtId="0" fontId="3" fillId="6" borderId="25" xfId="0" applyFont="1" applyFill="1" applyBorder="1" applyAlignment="1">
      <alignment horizontal="center" wrapText="1"/>
    </xf>
    <xf numFmtId="0" fontId="3" fillId="6" borderId="31" xfId="0" applyFont="1" applyFill="1" applyBorder="1" applyAlignment="1">
      <alignment horizontal="center" wrapText="1"/>
    </xf>
    <xf numFmtId="0" fontId="2" fillId="7" borderId="29" xfId="0" applyFont="1" applyFill="1" applyBorder="1" applyAlignment="1">
      <alignment horizontal="center" wrapText="1"/>
    </xf>
    <xf numFmtId="0" fontId="2" fillId="7" borderId="30" xfId="0" applyFont="1" applyFill="1" applyBorder="1" applyAlignment="1">
      <alignment horizontal="center" wrapText="1"/>
    </xf>
    <xf numFmtId="0" fontId="2" fillId="5" borderId="29" xfId="0" applyFont="1" applyFill="1" applyBorder="1" applyAlignment="1">
      <alignment horizontal="center" wrapText="1"/>
    </xf>
    <xf numFmtId="0" fontId="2" fillId="5" borderId="30" xfId="0" applyFont="1" applyFill="1" applyBorder="1" applyAlignment="1">
      <alignment horizontal="center" wrapText="1"/>
    </xf>
    <xf numFmtId="0" fontId="6" fillId="4" borderId="32" xfId="1" applyFont="1" applyFill="1" applyBorder="1" applyAlignment="1">
      <alignment horizontal="center" vertical="center" wrapText="1"/>
    </xf>
    <xf numFmtId="0" fontId="6" fillId="4" borderId="33" xfId="1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/>
    </xf>
    <xf numFmtId="164" fontId="2" fillId="9" borderId="4" xfId="0" applyNumberFormat="1" applyFont="1" applyFill="1" applyBorder="1" applyAlignment="1">
      <alignment horizontal="left" vertical="center" wrapText="1"/>
    </xf>
    <xf numFmtId="0" fontId="2" fillId="9" borderId="1" xfId="0" applyFont="1" applyFill="1" applyBorder="1" applyAlignment="1">
      <alignment horizontal="center" wrapText="1"/>
    </xf>
    <xf numFmtId="0" fontId="3" fillId="9" borderId="8" xfId="0" applyFont="1" applyFill="1" applyBorder="1" applyAlignment="1">
      <alignment horizontal="center" vertical="center" wrapText="1"/>
    </xf>
  </cellXfs>
  <cellStyles count="3">
    <cellStyle name="Good" xfId="1" builtinId="26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218B3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D724C-DEEB-40B6-84CF-535E8729E008}">
  <dimension ref="A1:E39"/>
  <sheetViews>
    <sheetView showGridLines="0" tabSelected="1" topLeftCell="A8" zoomScale="130" zoomScaleNormal="130" workbookViewId="0">
      <selection activeCell="B27" sqref="B27:E27"/>
    </sheetView>
  </sheetViews>
  <sheetFormatPr defaultRowHeight="15" x14ac:dyDescent="0.25"/>
  <cols>
    <col min="1" max="1" width="17.5703125" style="1" customWidth="1"/>
    <col min="2" max="2" width="13.28515625" style="1" customWidth="1"/>
    <col min="3" max="3" width="42.140625" style="6" customWidth="1"/>
    <col min="4" max="4" width="56.5703125" style="4" customWidth="1"/>
    <col min="5" max="5" width="38.7109375" style="4" bestFit="1" customWidth="1"/>
    <col min="6" max="6" width="19" customWidth="1"/>
  </cols>
  <sheetData>
    <row r="1" spans="1:5" ht="15.75" thickBot="1" x14ac:dyDescent="0.3"/>
    <row r="2" spans="1:5" ht="21" customHeight="1" x14ac:dyDescent="0.25">
      <c r="B2" s="68" t="s">
        <v>57</v>
      </c>
      <c r="C2" s="69"/>
      <c r="D2" s="69"/>
      <c r="E2" s="70"/>
    </row>
    <row r="3" spans="1:5" ht="15.75" thickBot="1" x14ac:dyDescent="0.3">
      <c r="B3" s="71"/>
      <c r="C3" s="72"/>
      <c r="D3" s="72"/>
      <c r="E3" s="73"/>
    </row>
    <row r="4" spans="1:5" ht="28.5" customHeight="1" thickBot="1" x14ac:dyDescent="0.3">
      <c r="B4" s="22" t="s">
        <v>0</v>
      </c>
      <c r="C4" s="23" t="s">
        <v>2</v>
      </c>
      <c r="D4" s="23" t="s">
        <v>1</v>
      </c>
      <c r="E4" s="24" t="s">
        <v>4</v>
      </c>
    </row>
    <row r="5" spans="1:5" x14ac:dyDescent="0.25">
      <c r="B5" s="27">
        <v>1</v>
      </c>
      <c r="C5" s="28" t="s">
        <v>28</v>
      </c>
      <c r="D5" s="29" t="s">
        <v>3</v>
      </c>
      <c r="E5" s="30" t="s">
        <v>55</v>
      </c>
    </row>
    <row r="6" spans="1:5" x14ac:dyDescent="0.25">
      <c r="B6" s="31">
        <v>2</v>
      </c>
      <c r="C6" s="32" t="s">
        <v>29</v>
      </c>
      <c r="D6" s="33" t="s">
        <v>14</v>
      </c>
      <c r="E6" s="34" t="s">
        <v>55</v>
      </c>
    </row>
    <row r="7" spans="1:5" x14ac:dyDescent="0.25">
      <c r="B7" s="31">
        <v>3</v>
      </c>
      <c r="C7" s="32" t="s">
        <v>30</v>
      </c>
      <c r="D7" s="33" t="s">
        <v>6</v>
      </c>
      <c r="E7" s="34" t="s">
        <v>55</v>
      </c>
    </row>
    <row r="8" spans="1:5" x14ac:dyDescent="0.25">
      <c r="B8" s="31">
        <v>4</v>
      </c>
      <c r="C8" s="32" t="s">
        <v>31</v>
      </c>
      <c r="D8" s="33" t="s">
        <v>55</v>
      </c>
      <c r="E8" s="34" t="s">
        <v>5</v>
      </c>
    </row>
    <row r="9" spans="1:5" x14ac:dyDescent="0.25">
      <c r="B9" s="31">
        <v>5</v>
      </c>
      <c r="C9" s="35" t="s">
        <v>32</v>
      </c>
      <c r="D9" s="36" t="s">
        <v>7</v>
      </c>
      <c r="E9" s="37" t="s">
        <v>55</v>
      </c>
    </row>
    <row r="10" spans="1:5" s="2" customFormat="1" x14ac:dyDescent="0.25">
      <c r="A10" s="3"/>
      <c r="B10" s="31">
        <v>6</v>
      </c>
      <c r="C10" s="35" t="s">
        <v>33</v>
      </c>
      <c r="D10" s="38" t="s">
        <v>21</v>
      </c>
      <c r="E10" s="39" t="s">
        <v>55</v>
      </c>
    </row>
    <row r="11" spans="1:5" x14ac:dyDescent="0.25">
      <c r="B11" s="45">
        <v>7</v>
      </c>
      <c r="C11" s="46" t="s">
        <v>34</v>
      </c>
      <c r="D11" s="78" t="s">
        <v>63</v>
      </c>
      <c r="E11" s="79"/>
    </row>
    <row r="12" spans="1:5" x14ac:dyDescent="0.25">
      <c r="B12" s="31">
        <v>8</v>
      </c>
      <c r="C12" s="35" t="s">
        <v>35</v>
      </c>
      <c r="D12" s="80" t="s">
        <v>60</v>
      </c>
      <c r="E12" s="81"/>
    </row>
    <row r="13" spans="1:5" ht="15.75" thickBot="1" x14ac:dyDescent="0.3">
      <c r="B13" s="48">
        <v>9</v>
      </c>
      <c r="C13" s="49" t="s">
        <v>36</v>
      </c>
      <c r="D13" s="50" t="s">
        <v>61</v>
      </c>
      <c r="E13" s="51" t="s">
        <v>55</v>
      </c>
    </row>
    <row r="14" spans="1:5" ht="15.75" thickBot="1" x14ac:dyDescent="0.3">
      <c r="B14" s="7">
        <v>10</v>
      </c>
      <c r="C14" s="54" t="s">
        <v>37</v>
      </c>
      <c r="D14" s="74" t="s">
        <v>19</v>
      </c>
      <c r="E14" s="75"/>
    </row>
    <row r="15" spans="1:5" x14ac:dyDescent="0.25">
      <c r="B15" s="52">
        <v>11</v>
      </c>
      <c r="C15" s="53" t="s">
        <v>38</v>
      </c>
      <c r="D15" s="76" t="s">
        <v>56</v>
      </c>
      <c r="E15" s="77"/>
    </row>
    <row r="16" spans="1:5" x14ac:dyDescent="0.25">
      <c r="B16" s="31">
        <v>12</v>
      </c>
      <c r="C16" s="40" t="s">
        <v>39</v>
      </c>
      <c r="D16" s="41" t="s">
        <v>62</v>
      </c>
      <c r="E16" s="42" t="s">
        <v>22</v>
      </c>
    </row>
    <row r="17" spans="2:5" x14ac:dyDescent="0.25">
      <c r="B17" s="55">
        <v>13</v>
      </c>
      <c r="C17" s="40" t="s">
        <v>41</v>
      </c>
      <c r="D17" s="41" t="s">
        <v>8</v>
      </c>
      <c r="E17" s="47" t="s">
        <v>64</v>
      </c>
    </row>
    <row r="18" spans="2:5" x14ac:dyDescent="0.25">
      <c r="B18" s="45">
        <v>14</v>
      </c>
      <c r="C18" s="46" t="s">
        <v>42</v>
      </c>
      <c r="D18" s="78" t="s">
        <v>63</v>
      </c>
      <c r="E18" s="79"/>
    </row>
    <row r="19" spans="2:5" x14ac:dyDescent="0.25">
      <c r="B19" s="55">
        <v>15</v>
      </c>
      <c r="C19" s="40" t="s">
        <v>43</v>
      </c>
      <c r="D19" s="41" t="s">
        <v>55</v>
      </c>
      <c r="E19" s="47" t="s">
        <v>9</v>
      </c>
    </row>
    <row r="20" spans="2:5" ht="30" x14ac:dyDescent="0.25">
      <c r="B20" s="14">
        <v>16</v>
      </c>
      <c r="C20" s="15" t="s">
        <v>44</v>
      </c>
      <c r="D20" s="43" t="s">
        <v>68</v>
      </c>
      <c r="E20" s="44"/>
    </row>
    <row r="21" spans="2:5" ht="16.5" customHeight="1" x14ac:dyDescent="0.25">
      <c r="B21" s="56">
        <v>17</v>
      </c>
      <c r="C21" s="57" t="s">
        <v>45</v>
      </c>
      <c r="D21" s="62" t="s">
        <v>10</v>
      </c>
      <c r="E21" s="59" t="s">
        <v>66</v>
      </c>
    </row>
    <row r="22" spans="2:5" x14ac:dyDescent="0.25">
      <c r="B22" s="60">
        <v>18</v>
      </c>
      <c r="C22" s="61" t="s">
        <v>46</v>
      </c>
      <c r="D22" s="58" t="s">
        <v>23</v>
      </c>
      <c r="E22" s="59" t="s">
        <v>66</v>
      </c>
    </row>
    <row r="23" spans="2:5" ht="15.75" thickBot="1" x14ac:dyDescent="0.3">
      <c r="B23" s="60">
        <v>19</v>
      </c>
      <c r="C23" s="61" t="s">
        <v>47</v>
      </c>
      <c r="D23" s="58" t="s">
        <v>67</v>
      </c>
      <c r="E23" s="59" t="s">
        <v>12</v>
      </c>
    </row>
    <row r="24" spans="2:5" ht="15.75" thickBot="1" x14ac:dyDescent="0.3">
      <c r="B24" s="7">
        <v>20</v>
      </c>
      <c r="C24" s="54" t="s">
        <v>49</v>
      </c>
      <c r="D24" s="74" t="s">
        <v>20</v>
      </c>
      <c r="E24" s="75"/>
    </row>
    <row r="25" spans="2:5" x14ac:dyDescent="0.25">
      <c r="B25" s="60">
        <v>22</v>
      </c>
      <c r="C25" s="61" t="s">
        <v>48</v>
      </c>
      <c r="D25" s="58" t="s">
        <v>11</v>
      </c>
      <c r="E25" s="59" t="s">
        <v>66</v>
      </c>
    </row>
    <row r="26" spans="2:5" ht="18.75" customHeight="1" x14ac:dyDescent="0.25">
      <c r="B26" s="60">
        <v>23</v>
      </c>
      <c r="C26" s="61" t="s">
        <v>50</v>
      </c>
      <c r="D26" s="58" t="s">
        <v>24</v>
      </c>
      <c r="E26" s="59" t="s">
        <v>66</v>
      </c>
    </row>
    <row r="27" spans="2:5" x14ac:dyDescent="0.25">
      <c r="B27" s="84">
        <v>24</v>
      </c>
      <c r="C27" s="85" t="s">
        <v>51</v>
      </c>
      <c r="D27" s="86" t="s">
        <v>69</v>
      </c>
      <c r="E27" s="87" t="s">
        <v>70</v>
      </c>
    </row>
    <row r="28" spans="2:5" ht="29.25" customHeight="1" x14ac:dyDescent="0.25">
      <c r="B28" s="26">
        <v>25</v>
      </c>
      <c r="C28" s="16" t="s">
        <v>52</v>
      </c>
      <c r="D28" s="63" t="s">
        <v>25</v>
      </c>
      <c r="E28" s="25" t="s">
        <v>55</v>
      </c>
    </row>
    <row r="29" spans="2:5" ht="19.5" customHeight="1" thickBot="1" x14ac:dyDescent="0.3">
      <c r="B29" s="17">
        <v>26</v>
      </c>
      <c r="C29" s="16" t="s">
        <v>53</v>
      </c>
      <c r="D29" s="82" t="s">
        <v>65</v>
      </c>
      <c r="E29" s="83"/>
    </row>
    <row r="30" spans="2:5" ht="29.25" customHeight="1" thickBot="1" x14ac:dyDescent="0.3">
      <c r="B30" s="18">
        <v>27</v>
      </c>
      <c r="C30" s="21" t="s">
        <v>54</v>
      </c>
      <c r="D30" s="66" t="s">
        <v>13</v>
      </c>
      <c r="E30" s="67"/>
    </row>
    <row r="31" spans="2:5" ht="15.75" thickBot="1" x14ac:dyDescent="0.3">
      <c r="B31" s="19">
        <v>28</v>
      </c>
      <c r="C31" s="20" t="s">
        <v>58</v>
      </c>
      <c r="D31" s="64" t="s">
        <v>59</v>
      </c>
      <c r="E31" s="65"/>
    </row>
    <row r="32" spans="2:5" x14ac:dyDescent="0.25">
      <c r="B32" s="5"/>
      <c r="C32" s="6" t="s">
        <v>27</v>
      </c>
    </row>
    <row r="33" spans="2:4" x14ac:dyDescent="0.25">
      <c r="C33" s="8" t="s">
        <v>26</v>
      </c>
      <c r="D33" s="9">
        <f>13/26</f>
        <v>0.5</v>
      </c>
    </row>
    <row r="34" spans="2:4" x14ac:dyDescent="0.25">
      <c r="C34" s="10" t="s">
        <v>15</v>
      </c>
      <c r="D34" s="11">
        <f>0/3</f>
        <v>0</v>
      </c>
    </row>
    <row r="35" spans="2:4" x14ac:dyDescent="0.25">
      <c r="C35" s="10" t="s">
        <v>16</v>
      </c>
      <c r="D35" s="11">
        <f>0/1</f>
        <v>0</v>
      </c>
    </row>
    <row r="36" spans="2:4" x14ac:dyDescent="0.25">
      <c r="C36" s="10" t="s">
        <v>17</v>
      </c>
      <c r="D36" s="11">
        <f>0/1</f>
        <v>0</v>
      </c>
    </row>
    <row r="37" spans="2:4" x14ac:dyDescent="0.25">
      <c r="C37" s="12" t="s">
        <v>18</v>
      </c>
      <c r="D37" s="13">
        <f>0/1</f>
        <v>0</v>
      </c>
    </row>
    <row r="39" spans="2:4" x14ac:dyDescent="0.25">
      <c r="B39" s="1" t="s">
        <v>40</v>
      </c>
    </row>
  </sheetData>
  <mergeCells count="10">
    <mergeCell ref="D31:E31"/>
    <mergeCell ref="D30:E30"/>
    <mergeCell ref="B2:E3"/>
    <mergeCell ref="D14:E14"/>
    <mergeCell ref="D15:E15"/>
    <mergeCell ref="D11:E11"/>
    <mergeCell ref="D12:E12"/>
    <mergeCell ref="D29:E29"/>
    <mergeCell ref="D24:E24"/>
    <mergeCell ref="D18:E1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Orden</vt:lpstr>
    </vt:vector>
  </TitlesOfParts>
  <Company>BCRD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Aloi Rodriguez</dc:creator>
  <cp:lastModifiedBy>Jessica Aloi Rodriguez</cp:lastModifiedBy>
  <dcterms:created xsi:type="dcterms:W3CDTF">2024-04-15T18:24:15Z</dcterms:created>
  <dcterms:modified xsi:type="dcterms:W3CDTF">2026-06-22T14:29:33Z</dcterms:modified>
</cp:coreProperties>
</file>